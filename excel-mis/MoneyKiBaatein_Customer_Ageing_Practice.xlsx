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AR_Summary" sheetId="3" state="visible" r:id="rId3"/>
    <sheet xmlns:r="http://schemas.openxmlformats.org/officeDocument/2006/relationships" name="Custom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ustomerAgeingTable" displayName="CustomerAgeingTable" ref="A1:J11" headerRowCount="1">
  <autoFilter ref="A1:J11"/>
  <tableColumns count="10">
    <tableColumn id="1" name="Customer"/>
    <tableColumn id="2" name="Invoice No"/>
    <tableColumn id="3" name="Invoice Date"/>
    <tableColumn id="4" name="Due Date"/>
    <tableColumn id="5" name="Invoice Amount"/>
    <tableColumn id="6" name="Amount Received"/>
    <tableColumn id="7" name="Outstanding"/>
    <tableColumn id="8" name="Ageing Days"/>
    <tableColumn id="9" name="Ageing Bucket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MoneyKiBaatein – Customer Ageing Practice</t>
        </is>
      </c>
    </row>
    <row r="2">
      <c r="A2" t="inlineStr">
        <is>
          <t>Objective</t>
        </is>
      </c>
      <c r="B2" t="inlineStr">
        <is>
          <t>Practice Accounts Receivable (AR) and customer ageing analysis using fictional data.</t>
        </is>
      </c>
    </row>
    <row r="3">
      <c r="A3" t="inlineStr">
        <is>
          <t>Step 1</t>
        </is>
      </c>
      <c r="B3" t="inlineStr">
        <is>
          <t>Review the Customer_Data sheet.</t>
        </is>
      </c>
    </row>
    <row r="4">
      <c r="A4" t="inlineStr">
        <is>
          <t>Step 2</t>
        </is>
      </c>
      <c r="B4" t="inlineStr">
        <is>
          <t>Calculate outstanding amount after receipts.</t>
        </is>
      </c>
    </row>
    <row r="5">
      <c r="A5" t="inlineStr">
        <is>
          <t>Step 3</t>
        </is>
      </c>
      <c r="B5" t="inlineStr">
        <is>
          <t>Review ageing days and ageing buckets.</t>
        </is>
      </c>
    </row>
    <row r="6">
      <c r="A6" t="inlineStr">
        <is>
          <t>Step 4</t>
        </is>
      </c>
      <c r="B6" t="inlineStr">
        <is>
          <t>Analyse customer-wise outstanding balances.</t>
        </is>
      </c>
    </row>
    <row r="7">
      <c r="A7" t="inlineStr">
        <is>
          <t>Step 5</t>
        </is>
      </c>
      <c r="B7" t="inlineStr">
        <is>
          <t>Review the AR_Summary sheet.</t>
        </is>
      </c>
    </row>
    <row r="8">
      <c r="A8" t="inlineStr">
        <is>
          <t>Portfolio Use</t>
        </is>
      </c>
      <c r="B8" t="inlineStr">
        <is>
          <t>Fictional data created for learning and accounting portfolio purposes.</t>
        </is>
      </c>
    </row>
    <row r="9">
      <c r="A9" t="inlineStr">
        <is>
          <t>Privacy</t>
        </is>
      </c>
      <c r="B9" t="inlineStr">
        <is>
          <t>Never upload confidential employer/client/customer data to GitHub.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6" customWidth="1" min="10" max="10"/>
  </cols>
  <sheetData>
    <row r="1">
      <c r="A1" s="2" t="inlineStr">
        <is>
          <t>Customer</t>
        </is>
      </c>
      <c r="B1" s="2" t="inlineStr">
        <is>
          <t>Invoice No</t>
        </is>
      </c>
      <c r="C1" s="2" t="inlineStr">
        <is>
          <t>Invoice Date</t>
        </is>
      </c>
      <c r="D1" s="2" t="inlineStr">
        <is>
          <t>Due Date</t>
        </is>
      </c>
      <c r="E1" s="2" t="inlineStr">
        <is>
          <t>Invoice Amount</t>
        </is>
      </c>
      <c r="F1" s="2" t="inlineStr">
        <is>
          <t>Amount Received</t>
        </is>
      </c>
      <c r="G1" s="2" t="inlineStr">
        <is>
          <t>Outstanding</t>
        </is>
      </c>
      <c r="H1" s="2" t="inlineStr">
        <is>
          <t>Ageing Days</t>
        </is>
      </c>
      <c r="I1" s="2" t="inlineStr">
        <is>
          <t>Ageing Bucket</t>
        </is>
      </c>
      <c r="J1" s="2" t="inlineStr">
        <is>
          <t>Status</t>
        </is>
      </c>
    </row>
    <row r="2">
      <c r="A2" s="3" t="inlineStr">
        <is>
          <t>ABC Traders</t>
        </is>
      </c>
      <c r="B2" s="3" t="inlineStr">
        <is>
          <t>INV-101</t>
        </is>
      </c>
      <c r="C2" s="4" t="n">
        <v>46266</v>
      </c>
      <c r="D2" s="4" t="n">
        <v>46280</v>
      </c>
      <c r="E2" s="5" t="n">
        <v>50000</v>
      </c>
      <c r="F2" s="5" t="n">
        <v>50000</v>
      </c>
      <c r="G2" s="5">
        <f>E2-F2</f>
        <v/>
      </c>
      <c r="H2" s="3">
        <f>IF(G2&lt;=0,0,MAX(0,DATE(2026,9,30)-D2))</f>
        <v/>
      </c>
      <c r="I2" s="3">
        <f>IF(G2&lt;=0,"Paid",IF(H2=0,"Not Due",IF(H2&lt;=30,"1-30 Days",IF(H2&lt;=60,"31-60 Days",IF(H2&lt;=90,"61-90 Days",IF(H2&lt;=180,"91-180 Days","Above 180 Days"))))))</f>
        <v/>
      </c>
      <c r="J2" s="3">
        <f>IF(G2&lt;=0,"Paid",IF(H2=0,"Not Due","Outstanding"))</f>
        <v/>
      </c>
    </row>
    <row r="3">
      <c r="A3" s="3" t="inlineStr">
        <is>
          <t>XYZ Pvt Ltd</t>
        </is>
      </c>
      <c r="B3" s="3" t="inlineStr">
        <is>
          <t>INV-102</t>
        </is>
      </c>
      <c r="C3" s="4" t="n">
        <v>46235</v>
      </c>
      <c r="D3" s="4" t="n">
        <v>46254</v>
      </c>
      <c r="E3" s="5" t="n">
        <v>75000</v>
      </c>
      <c r="F3" s="5" t="n">
        <v>25000</v>
      </c>
      <c r="G3" s="5">
        <f>E3-F3</f>
        <v/>
      </c>
      <c r="H3" s="3">
        <f>IF(G3&lt;=0,0,MAX(0,DATE(2026,9,30)-D3))</f>
        <v/>
      </c>
      <c r="I3" s="3">
        <f>IF(G3&lt;=0,"Paid",IF(H3=0,"Not Due",IF(H3&lt;=30,"1-30 Days",IF(H3&lt;=60,"31-60 Days",IF(H3&lt;=90,"61-90 Days",IF(H3&lt;=180,"91-180 Days","Above 180 Days"))))))</f>
        <v/>
      </c>
      <c r="J3" s="3">
        <f>IF(G3&lt;=0,"Paid",IF(H3=0,"Not Due","Outstanding"))</f>
        <v/>
      </c>
    </row>
    <row r="4">
      <c r="A4" s="3" t="inlineStr">
        <is>
          <t>PQR Ltd</t>
        </is>
      </c>
      <c r="B4" s="3" t="inlineStr">
        <is>
          <t>INV-103</t>
        </is>
      </c>
      <c r="C4" s="4" t="n">
        <v>46204</v>
      </c>
      <c r="D4" s="4" t="n">
        <v>46223</v>
      </c>
      <c r="E4" s="5" t="n">
        <v>120000</v>
      </c>
      <c r="F4" s="5" t="n">
        <v>0</v>
      </c>
      <c r="G4" s="5">
        <f>E4-F4</f>
        <v/>
      </c>
      <c r="H4" s="3">
        <f>IF(G4&lt;=0,0,MAX(0,DATE(2026,9,30)-D4))</f>
        <v/>
      </c>
      <c r="I4" s="3">
        <f>IF(G4&lt;=0,"Paid",IF(H4=0,"Not Due",IF(H4&lt;=30,"1-30 Days",IF(H4&lt;=60,"31-60 Days",IF(H4&lt;=90,"61-90 Days",IF(H4&lt;=180,"91-180 Days","Above 180 Days"))))))</f>
        <v/>
      </c>
      <c r="J4" s="3">
        <f>IF(G4&lt;=0,"Paid",IF(H4=0,"Not Due","Outstanding"))</f>
        <v/>
      </c>
    </row>
    <row r="5">
      <c r="A5" s="3" t="inlineStr">
        <is>
          <t>LMN Services</t>
        </is>
      </c>
      <c r="B5" s="3" t="inlineStr">
        <is>
          <t>INV-104</t>
        </is>
      </c>
      <c r="C5" s="4" t="n">
        <v>46174</v>
      </c>
      <c r="D5" s="4" t="n">
        <v>46188</v>
      </c>
      <c r="E5" s="5" t="n">
        <v>45000</v>
      </c>
      <c r="F5" s="5" t="n">
        <v>10000</v>
      </c>
      <c r="G5" s="5">
        <f>E5-F5</f>
        <v/>
      </c>
      <c r="H5" s="3">
        <f>IF(G5&lt;=0,0,MAX(0,DATE(2026,9,30)-D5))</f>
        <v/>
      </c>
      <c r="I5" s="3">
        <f>IF(G5&lt;=0,"Paid",IF(H5=0,"Not Due",IF(H5&lt;=30,"1-30 Days",IF(H5&lt;=60,"31-60 Days",IF(H5&lt;=90,"61-90 Days",IF(H5&lt;=180,"91-180 Days","Above 180 Days"))))))</f>
        <v/>
      </c>
      <c r="J5" s="3">
        <f>IF(G5&lt;=0,"Paid",IF(H5=0,"Not Due","Outstanding"))</f>
        <v/>
      </c>
    </row>
    <row r="6">
      <c r="A6" s="3" t="inlineStr">
        <is>
          <t>DEF Enterprises</t>
        </is>
      </c>
      <c r="B6" s="3" t="inlineStr">
        <is>
          <t>INV-105</t>
        </is>
      </c>
      <c r="C6" s="4" t="n">
        <v>46143</v>
      </c>
      <c r="D6" s="4" t="n">
        <v>46162</v>
      </c>
      <c r="E6" s="5" t="n">
        <v>90000</v>
      </c>
      <c r="F6" s="5" t="n">
        <v>30000</v>
      </c>
      <c r="G6" s="5">
        <f>E6-F6</f>
        <v/>
      </c>
      <c r="H6" s="3">
        <f>IF(G6&lt;=0,0,MAX(0,DATE(2026,9,30)-D6))</f>
        <v/>
      </c>
      <c r="I6" s="3">
        <f>IF(G6&lt;=0,"Paid",IF(H6=0,"Not Due",IF(H6&lt;=30,"1-30 Days",IF(H6&lt;=60,"31-60 Days",IF(H6&lt;=90,"61-90 Days",IF(H6&lt;=180,"91-180 Days","Above 180 Days"))))))</f>
        <v/>
      </c>
      <c r="J6" s="3">
        <f>IF(G6&lt;=0,"Paid",IF(H6=0,"Not Due","Outstanding"))</f>
        <v/>
      </c>
    </row>
    <row r="7">
      <c r="A7" s="3" t="inlineStr">
        <is>
          <t>GHI Solutions</t>
        </is>
      </c>
      <c r="B7" s="3" t="inlineStr">
        <is>
          <t>INV-106</t>
        </is>
      </c>
      <c r="C7" s="4" t="n">
        <v>46082</v>
      </c>
      <c r="D7" s="4" t="n">
        <v>46096</v>
      </c>
      <c r="E7" s="5" t="n">
        <v>60000</v>
      </c>
      <c r="F7" s="5" t="n">
        <v>0</v>
      </c>
      <c r="G7" s="5">
        <f>E7-F7</f>
        <v/>
      </c>
      <c r="H7" s="3">
        <f>IF(G7&lt;=0,0,MAX(0,DATE(2026,9,30)-D7))</f>
        <v/>
      </c>
      <c r="I7" s="3">
        <f>IF(G7&lt;=0,"Paid",IF(H7=0,"Not Due",IF(H7&lt;=30,"1-30 Days",IF(H7&lt;=60,"31-60 Days",IF(H7&lt;=90,"61-90 Days",IF(H7&lt;=180,"91-180 Days","Above 180 Days"))))))</f>
        <v/>
      </c>
      <c r="J7" s="3">
        <f>IF(G7&lt;=0,"Paid",IF(H7=0,"Not Due","Outstanding"))</f>
        <v/>
      </c>
    </row>
    <row r="8">
      <c r="A8" s="3" t="inlineStr">
        <is>
          <t>JKL Pvt Ltd</t>
        </is>
      </c>
      <c r="B8" s="3" t="inlineStr">
        <is>
          <t>INV-107</t>
        </is>
      </c>
      <c r="C8" s="4" t="n">
        <v>46270</v>
      </c>
      <c r="D8" s="4" t="n">
        <v>46300</v>
      </c>
      <c r="E8" s="5" t="n">
        <v>40000</v>
      </c>
      <c r="F8" s="5" t="n">
        <v>0</v>
      </c>
      <c r="G8" s="5">
        <f>E8-F8</f>
        <v/>
      </c>
      <c r="H8" s="3">
        <f>IF(G8&lt;=0,0,MAX(0,DATE(2026,9,30)-D8))</f>
        <v/>
      </c>
      <c r="I8" s="3">
        <f>IF(G8&lt;=0,"Paid",IF(H8=0,"Not Due",IF(H8&lt;=30,"1-30 Days",IF(H8&lt;=60,"31-60 Days",IF(H8&lt;=90,"61-90 Days",IF(H8&lt;=180,"91-180 Days","Above 180 Days"))))))</f>
        <v/>
      </c>
      <c r="J8" s="3">
        <f>IF(G8&lt;=0,"Paid",IF(H8=0,"Not Due","Outstanding"))</f>
        <v/>
      </c>
    </row>
    <row r="9">
      <c r="A9" s="3" t="inlineStr">
        <is>
          <t>MNO Traders</t>
        </is>
      </c>
      <c r="B9" s="3" t="inlineStr">
        <is>
          <t>INV-108</t>
        </is>
      </c>
      <c r="C9" s="4" t="n">
        <v>46113</v>
      </c>
      <c r="D9" s="4" t="n">
        <v>46132</v>
      </c>
      <c r="E9" s="5" t="n">
        <v>80000</v>
      </c>
      <c r="F9" s="5" t="n">
        <v>20000</v>
      </c>
      <c r="G9" s="5">
        <f>E9-F9</f>
        <v/>
      </c>
      <c r="H9" s="3">
        <f>IF(G9&lt;=0,0,MAX(0,DATE(2026,9,30)-D9))</f>
        <v/>
      </c>
      <c r="I9" s="3">
        <f>IF(G9&lt;=0,"Paid",IF(H9=0,"Not Due",IF(H9&lt;=30,"1-30 Days",IF(H9&lt;=60,"31-60 Days",IF(H9&lt;=90,"61-90 Days",IF(H9&lt;=180,"91-180 Days","Above 180 Days"))))))</f>
        <v/>
      </c>
      <c r="J9" s="3">
        <f>IF(G9&lt;=0,"Paid",IF(H9=0,"Not Due","Outstanding"))</f>
        <v/>
      </c>
    </row>
    <row r="10">
      <c r="A10" s="3" t="inlineStr">
        <is>
          <t>RST Ltd</t>
        </is>
      </c>
      <c r="B10" s="3" t="inlineStr">
        <is>
          <t>INV-109</t>
        </is>
      </c>
      <c r="C10" s="4" t="n">
        <v>46249</v>
      </c>
      <c r="D10" s="4" t="n">
        <v>46275</v>
      </c>
      <c r="E10" s="5" t="n">
        <v>35000</v>
      </c>
      <c r="F10" s="5" t="n">
        <v>0</v>
      </c>
      <c r="G10" s="5">
        <f>E10-F10</f>
        <v/>
      </c>
      <c r="H10" s="3">
        <f>IF(G10&lt;=0,0,MAX(0,DATE(2026,9,30)-D10))</f>
        <v/>
      </c>
      <c r="I10" s="3">
        <f>IF(G10&lt;=0,"Paid",IF(H10=0,"Not Due",IF(H10&lt;=30,"1-30 Days",IF(H10&lt;=60,"31-60 Days",IF(H10&lt;=90,"61-90 Days",IF(H10&lt;=180,"91-180 Days","Above 180 Days"))))))</f>
        <v/>
      </c>
      <c r="J10" s="3">
        <f>IF(G10&lt;=0,"Paid",IF(H10=0,"Not Due","Outstanding"))</f>
        <v/>
      </c>
    </row>
    <row r="11">
      <c r="A11" s="3" t="inlineStr">
        <is>
          <t>UVW Corp</t>
        </is>
      </c>
      <c r="B11" s="3" t="inlineStr">
        <is>
          <t>INV-110</t>
        </is>
      </c>
      <c r="C11" s="4" t="n">
        <v>46023</v>
      </c>
      <c r="D11" s="4" t="n">
        <v>46042</v>
      </c>
      <c r="E11" s="5" t="n">
        <v>150000</v>
      </c>
      <c r="F11" s="5" t="n">
        <v>50000</v>
      </c>
      <c r="G11" s="5">
        <f>E11-F11</f>
        <v/>
      </c>
      <c r="H11" s="3">
        <f>IF(G11&lt;=0,0,MAX(0,DATE(2026,9,30)-D11))</f>
        <v/>
      </c>
      <c r="I11" s="3">
        <f>IF(G11&lt;=0,"Paid",IF(H11=0,"Not Due",IF(H11&lt;=30,"1-30 Days",IF(H11&lt;=60,"31-60 Days",IF(H11&lt;=90,"61-90 Days",IF(H11&lt;=180,"91-180 Days","Above 180 Days"))))))</f>
        <v/>
      </c>
      <c r="J11" s="3">
        <f>IF(G11&lt;=0,"Paid",IF(H11=0,"Not Due","Outstanding"))</f>
        <v/>
      </c>
    </row>
  </sheetData>
  <conditionalFormatting sqref="J2:J11">
    <cfRule type="expression" priority="1" stopIfTrue="1">
      <formula>J2="Outstanding"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>
      <c r="A1" s="2" t="inlineStr">
        <is>
          <t>AR Ageing Summary</t>
        </is>
      </c>
      <c r="B1" s="2" t="n"/>
      <c r="C1" s="2" t="n"/>
    </row>
    <row r="2">
      <c r="A2" s="3" t="inlineStr">
        <is>
          <t>Ageing Bucket</t>
        </is>
      </c>
      <c r="B2" s="3" t="inlineStr">
        <is>
          <t>Outstanding Amount</t>
        </is>
      </c>
      <c r="C2" s="3" t="inlineStr">
        <is>
          <t>Invoice Count</t>
        </is>
      </c>
    </row>
    <row r="3">
      <c r="A3" s="3" t="inlineStr">
        <is>
          <t>Not Due</t>
        </is>
      </c>
      <c r="B3" s="5">
        <f>SUMIF(Customer_Data!I2:I11,A3,Customer_Data!G2:G11)</f>
        <v/>
      </c>
      <c r="C3" s="3">
        <f>COUNTIF(Customer_Data!I2:I11,A3)</f>
        <v/>
      </c>
    </row>
    <row r="4">
      <c r="A4" s="3" t="inlineStr">
        <is>
          <t>1-30 Days</t>
        </is>
      </c>
      <c r="B4" s="5">
        <f>SUMIF(Customer_Data!I2:I11,A4,Customer_Data!G2:G11)</f>
        <v/>
      </c>
      <c r="C4" s="3">
        <f>COUNTIF(Customer_Data!I2:I11,A4)</f>
        <v/>
      </c>
    </row>
    <row r="5">
      <c r="A5" s="3" t="inlineStr">
        <is>
          <t>31-60 Days</t>
        </is>
      </c>
      <c r="B5" s="5">
        <f>SUMIF(Customer_Data!I2:I11,A5,Customer_Data!G2:G11)</f>
        <v/>
      </c>
      <c r="C5" s="3">
        <f>COUNTIF(Customer_Data!I2:I11,A5)</f>
        <v/>
      </c>
    </row>
    <row r="6">
      <c r="A6" s="3" t="inlineStr">
        <is>
          <t>61-90 Days</t>
        </is>
      </c>
      <c r="B6" s="5">
        <f>SUMIF(Customer_Data!I2:I11,A6,Customer_Data!G2:G11)</f>
        <v/>
      </c>
      <c r="C6" s="3">
        <f>COUNTIF(Customer_Data!I2:I11,A6)</f>
        <v/>
      </c>
    </row>
    <row r="7">
      <c r="A7" s="3" t="inlineStr">
        <is>
          <t>91-180 Days</t>
        </is>
      </c>
      <c r="B7" s="5">
        <f>SUMIF(Customer_Data!I2:I11,A7,Customer_Data!G2:G11)</f>
        <v/>
      </c>
      <c r="C7" s="3">
        <f>COUNTIF(Customer_Data!I2:I11,A7)</f>
        <v/>
      </c>
    </row>
    <row r="8">
      <c r="A8" s="3" t="inlineStr">
        <is>
          <t>Above 180 Days</t>
        </is>
      </c>
      <c r="B8" s="5">
        <f>SUMIF(Customer_Data!I2:I11,A8,Customer_Data!G2:G11)</f>
        <v/>
      </c>
      <c r="C8" s="3">
        <f>COUNTIF(Customer_Data!I2:I11,A8)</f>
        <v/>
      </c>
    </row>
    <row r="9">
      <c r="A9" s="3" t="n"/>
      <c r="B9" s="5" t="n"/>
      <c r="C9" s="3" t="n"/>
    </row>
    <row r="10">
      <c r="A10" s="3" t="inlineStr">
        <is>
          <t>Total Outstanding</t>
        </is>
      </c>
      <c r="B10" s="5">
        <f>SUM(Customer_Data!G2:G11)</f>
        <v/>
      </c>
      <c r="C10" s="3" t="n"/>
    </row>
    <row r="11">
      <c r="A11" s="3" t="inlineStr">
        <is>
          <t>Total Invoice Value</t>
        </is>
      </c>
      <c r="B11" s="5">
        <f>SUM(Customer_Data!E2:E11)</f>
        <v/>
      </c>
      <c r="C11" s="3" t="n"/>
    </row>
    <row r="12">
      <c r="A12" s="3" t="inlineStr">
        <is>
          <t>Total Received</t>
        </is>
      </c>
      <c r="B12" s="5">
        <f>SUM(Customer_Data!F2:F11)</f>
        <v/>
      </c>
      <c r="C12" s="3" t="n"/>
    </row>
    <row r="13">
      <c r="A13" s="3" t="inlineStr">
        <is>
          <t>Reporting Date</t>
        </is>
      </c>
      <c r="B13" s="4" t="n">
        <v>46295</v>
      </c>
      <c r="C1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Customer</t>
        </is>
      </c>
      <c r="B1" s="2" t="inlineStr">
        <is>
          <t>Total Invoice Value</t>
        </is>
      </c>
      <c r="C1" s="2" t="inlineStr">
        <is>
          <t>Total Received</t>
        </is>
      </c>
      <c r="D1" s="2" t="inlineStr">
        <is>
          <t>Outstanding</t>
        </is>
      </c>
    </row>
    <row r="2">
      <c r="A2" s="3" t="inlineStr">
        <is>
          <t>ABC Traders</t>
        </is>
      </c>
      <c r="B2" s="5">
        <f>SUMIF(Customer_Data!A2:A11,A2,Customer_Data!E2:E11)</f>
        <v/>
      </c>
      <c r="C2" s="5">
        <f>SUMIF(Customer_Data!A2:A11,A2,Customer_Data!F2:F11)</f>
        <v/>
      </c>
      <c r="D2" s="5">
        <f>B2-C2</f>
        <v/>
      </c>
    </row>
    <row r="3">
      <c r="A3" s="3" t="inlineStr">
        <is>
          <t>XYZ Pvt Ltd</t>
        </is>
      </c>
      <c r="B3" s="5">
        <f>SUMIF(Customer_Data!A2:A11,A3,Customer_Data!E2:E11)</f>
        <v/>
      </c>
      <c r="C3" s="5">
        <f>SUMIF(Customer_Data!A2:A11,A3,Customer_Data!F2:F11)</f>
        <v/>
      </c>
      <c r="D3" s="5">
        <f>B3-C3</f>
        <v/>
      </c>
    </row>
    <row r="4">
      <c r="A4" s="3" t="inlineStr">
        <is>
          <t>PQR Ltd</t>
        </is>
      </c>
      <c r="B4" s="5">
        <f>SUMIF(Customer_Data!A2:A11,A4,Customer_Data!E2:E11)</f>
        <v/>
      </c>
      <c r="C4" s="5">
        <f>SUMIF(Customer_Data!A2:A11,A4,Customer_Data!F2:F11)</f>
        <v/>
      </c>
      <c r="D4" s="5">
        <f>B4-C4</f>
        <v/>
      </c>
    </row>
    <row r="5">
      <c r="A5" s="3" t="inlineStr">
        <is>
          <t>LMN Services</t>
        </is>
      </c>
      <c r="B5" s="5">
        <f>SUMIF(Customer_Data!A2:A11,A5,Customer_Data!E2:E11)</f>
        <v/>
      </c>
      <c r="C5" s="5">
        <f>SUMIF(Customer_Data!A2:A11,A5,Customer_Data!F2:F11)</f>
        <v/>
      </c>
      <c r="D5" s="5">
        <f>B5-C5</f>
        <v/>
      </c>
    </row>
    <row r="6">
      <c r="A6" s="3" t="inlineStr">
        <is>
          <t>DEF Enterprises</t>
        </is>
      </c>
      <c r="B6" s="5">
        <f>SUMIF(Customer_Data!A2:A11,A6,Customer_Data!E2:E11)</f>
        <v/>
      </c>
      <c r="C6" s="5">
        <f>SUMIF(Customer_Data!A2:A11,A6,Customer_Data!F2:F11)</f>
        <v/>
      </c>
      <c r="D6" s="5">
        <f>B6-C6</f>
        <v/>
      </c>
    </row>
    <row r="7">
      <c r="A7" s="3" t="inlineStr">
        <is>
          <t>GHI Solutions</t>
        </is>
      </c>
      <c r="B7" s="5">
        <f>SUMIF(Customer_Data!A2:A11,A7,Customer_Data!E2:E11)</f>
        <v/>
      </c>
      <c r="C7" s="5">
        <f>SUMIF(Customer_Data!A2:A11,A7,Customer_Data!F2:F11)</f>
        <v/>
      </c>
      <c r="D7" s="5">
        <f>B7-C7</f>
        <v/>
      </c>
    </row>
    <row r="8">
      <c r="A8" s="3" t="inlineStr">
        <is>
          <t>JKL Pvt Ltd</t>
        </is>
      </c>
      <c r="B8" s="5">
        <f>SUMIF(Customer_Data!A2:A11,A8,Customer_Data!E2:E11)</f>
        <v/>
      </c>
      <c r="C8" s="5">
        <f>SUMIF(Customer_Data!A2:A11,A8,Customer_Data!F2:F11)</f>
        <v/>
      </c>
      <c r="D8" s="5">
        <f>B8-C8</f>
        <v/>
      </c>
    </row>
    <row r="9">
      <c r="A9" s="3" t="inlineStr">
        <is>
          <t>MNO Traders</t>
        </is>
      </c>
      <c r="B9" s="5">
        <f>SUMIF(Customer_Data!A2:A11,A9,Customer_Data!E2:E11)</f>
        <v/>
      </c>
      <c r="C9" s="5">
        <f>SUMIF(Customer_Data!A2:A11,A9,Customer_Data!F2:F11)</f>
        <v/>
      </c>
      <c r="D9" s="5">
        <f>B9-C9</f>
        <v/>
      </c>
    </row>
    <row r="10">
      <c r="A10" s="3" t="inlineStr">
        <is>
          <t>RST Ltd</t>
        </is>
      </c>
      <c r="B10" s="5">
        <f>SUMIF(Customer_Data!A2:A11,A10,Customer_Data!E2:E11)</f>
        <v/>
      </c>
      <c r="C10" s="5">
        <f>SUMIF(Customer_Data!A2:A11,A10,Customer_Data!F2:F11)</f>
        <v/>
      </c>
      <c r="D10" s="5">
        <f>B10-C10</f>
        <v/>
      </c>
    </row>
    <row r="11">
      <c r="A11" s="3" t="inlineStr">
        <is>
          <t>UVW Corp</t>
        </is>
      </c>
      <c r="B11" s="5">
        <f>SUMIF(Customer_Data!A2:A11,A11,Customer_Data!E2:E11)</f>
        <v/>
      </c>
      <c r="C11" s="5">
        <f>SUMIF(Customer_Data!A2:A11,A11,Customer_Data!F2:F11)</f>
        <v/>
      </c>
      <c r="D11" s="5">
        <f>B11-C11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2026-10-02T06:44:57Z</dcterms:created>
  <dcterms:modified xmlns:dcterms="http://purl.org/dc/terms/" xmlns:xsi="http://www.w3.org/2001/XMLSchema-instance" xsi:type="dcterms:W3CDTF">2026-10-02T06:44:57Z</dcterms:modified>
</cp:coreProperties>
</file>