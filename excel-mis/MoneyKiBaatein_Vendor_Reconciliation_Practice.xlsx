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_Ledger" sheetId="2" state="visible" r:id="rId2"/>
    <sheet xmlns:r="http://schemas.openxmlformats.org/officeDocument/2006/relationships" name="Vendor_Statement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VendorLedgerTable" displayName="VendorLedgerTable" ref="A1:H9" headerRowCount="1">
  <autoFilter ref="A1:H9"/>
  <tableColumns count="8">
    <tableColumn id="1" name="Date"/>
    <tableColumn id="2" name="Invoice/Ref No"/>
    <tableColumn id="3" name="Description"/>
    <tableColumn id="4" name="Invoice Amount"/>
    <tableColumn id="5" name="TDS"/>
    <tableColumn id="6" name="Payment"/>
    <tableColumn id="7" name="Credit Note"/>
    <tableColumn id="8" name="Net Bal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ndorStatementTable" displayName="VendorStatementTable" ref="A1:F10" headerRowCount="1">
  <autoFilter ref="A1:F10"/>
  <tableColumns count="6">
    <tableColumn id="1" name="Date"/>
    <tableColumn id="2" name="Invoice/Ref No"/>
    <tableColumn id="3" name="Description"/>
    <tableColumn id="4" name="Debit"/>
    <tableColumn id="5" name="Credit"/>
    <tableColumn id="6" name="Bal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ndorRecTable" displayName="VendorRecTable" ref="A1:F10" headerRowCount="1">
  <autoFilter ref="A1:F10"/>
  <tableColumns count="6">
    <tableColumn id="1" name="Reference No"/>
    <tableColumn id="2" name="Book Amount"/>
    <tableColumn id="3" name="Statement Amount"/>
    <tableColumn id="4" name="Difference"/>
    <tableColumn id="5" name="Status"/>
    <tableColumn id="6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MoneyKiBaatein – Vendor Reconciliation Practice</t>
        </is>
      </c>
    </row>
    <row r="2">
      <c r="A2" t="inlineStr">
        <is>
          <t>Objective</t>
        </is>
      </c>
      <c r="B2" t="inlineStr">
        <is>
          <t>Practice a real-world Accounts Payable (AP) vendor reconciliation workflow.</t>
        </is>
      </c>
    </row>
    <row r="3">
      <c r="A3" t="inlineStr">
        <is>
          <t>Step 1</t>
        </is>
      </c>
      <c r="B3" t="inlineStr">
        <is>
          <t>Review Vendor_Ledger and Vendor_Statement.</t>
        </is>
      </c>
    </row>
    <row r="4">
      <c r="A4" t="inlineStr">
        <is>
          <t>Step 2</t>
        </is>
      </c>
      <c r="B4" t="inlineStr">
        <is>
          <t>Compare invoice numbers, payments, TDS and credit notes.</t>
        </is>
      </c>
    </row>
    <row r="5">
      <c r="A5" t="inlineStr">
        <is>
          <t>Step 3</t>
        </is>
      </c>
      <c r="B5" t="inlineStr">
        <is>
          <t>Complete/review the Reconciliation sheet.</t>
        </is>
      </c>
    </row>
    <row r="6">
      <c r="A6" t="inlineStr">
        <is>
          <t>Step 4</t>
        </is>
      </c>
      <c r="B6" t="inlineStr">
        <is>
          <t>Identify matched, vendor-only and book-only transactions.</t>
        </is>
      </c>
    </row>
    <row r="7">
      <c r="A7" t="inlineStr">
        <is>
          <t>Step 5</t>
        </is>
      </c>
      <c r="B7" t="inlineStr">
        <is>
          <t>Review the Summary sheet and investigate differences.</t>
        </is>
      </c>
    </row>
    <row r="8">
      <c r="A8" t="inlineStr">
        <is>
          <t>Portfolio Use</t>
        </is>
      </c>
      <c r="B8" t="inlineStr">
        <is>
          <t>Fictional data created for accounting portfolio and learning purposes.</t>
        </is>
      </c>
    </row>
    <row r="9">
      <c r="A9" t="inlineStr">
        <is>
          <t>Privacy</t>
        </is>
      </c>
      <c r="B9" t="inlineStr">
        <is>
          <t>Never upload confidential employer/client/vendor data to GitHub.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2" t="inlineStr">
        <is>
          <t>Date</t>
        </is>
      </c>
      <c r="B1" s="2" t="inlineStr">
        <is>
          <t>Invoice/Ref No</t>
        </is>
      </c>
      <c r="C1" s="2" t="inlineStr">
        <is>
          <t>Description</t>
        </is>
      </c>
      <c r="D1" s="2" t="inlineStr">
        <is>
          <t>Invoice Amount</t>
        </is>
      </c>
      <c r="E1" s="2" t="inlineStr">
        <is>
          <t>TDS</t>
        </is>
      </c>
      <c r="F1" s="2" t="inlineStr">
        <is>
          <t>Payment</t>
        </is>
      </c>
      <c r="G1" s="2" t="inlineStr">
        <is>
          <t>Credit Note</t>
        </is>
      </c>
      <c r="H1" s="2" t="inlineStr">
        <is>
          <t>Net Balance</t>
        </is>
      </c>
    </row>
    <row r="2">
      <c r="A2" s="3" t="n">
        <v>46266</v>
      </c>
      <c r="B2" s="4" t="inlineStr">
        <is>
          <t>V-001</t>
        </is>
      </c>
      <c r="C2" s="4" t="inlineStr">
        <is>
          <t>Office Supplies</t>
        </is>
      </c>
      <c r="D2" s="5" t="n">
        <v>50000</v>
      </c>
      <c r="E2" s="5" t="n">
        <v>5000</v>
      </c>
      <c r="F2" s="5" t="n">
        <v>0</v>
      </c>
      <c r="G2" s="5" t="n">
        <v>0</v>
      </c>
      <c r="H2" s="5" t="n">
        <v>45000</v>
      </c>
    </row>
    <row r="3">
      <c r="A3" s="3" t="n">
        <v>46268</v>
      </c>
      <c r="B3" s="4" t="inlineStr">
        <is>
          <t>V-002</t>
        </is>
      </c>
      <c r="C3" s="4" t="inlineStr">
        <is>
          <t>IT Services</t>
        </is>
      </c>
      <c r="D3" s="5" t="n">
        <v>75000</v>
      </c>
      <c r="E3" s="5" t="n">
        <v>7500</v>
      </c>
      <c r="F3" s="5" t="n">
        <v>0</v>
      </c>
      <c r="G3" s="5" t="n">
        <v>0</v>
      </c>
      <c r="H3" s="5" t="n">
        <v>67500</v>
      </c>
    </row>
    <row r="4">
      <c r="A4" s="3" t="n">
        <v>46270</v>
      </c>
      <c r="B4" s="4" t="inlineStr">
        <is>
          <t>V-003</t>
        </is>
      </c>
      <c r="C4" s="4" t="inlineStr">
        <is>
          <t>Consultancy</t>
        </is>
      </c>
      <c r="D4" s="5" t="n">
        <v>40000</v>
      </c>
      <c r="E4" s="5" t="n">
        <v>4000</v>
      </c>
      <c r="F4" s="5" t="n">
        <v>0</v>
      </c>
      <c r="G4" s="5" t="n">
        <v>0</v>
      </c>
      <c r="H4" s="5" t="n">
        <v>36000</v>
      </c>
    </row>
    <row r="5">
      <c r="A5" s="3" t="n">
        <v>46272</v>
      </c>
      <c r="B5" s="4" t="inlineStr">
        <is>
          <t>V-004</t>
        </is>
      </c>
      <c r="C5" s="4" t="inlineStr">
        <is>
          <t>Office Maintenance</t>
        </is>
      </c>
      <c r="D5" s="5" t="n">
        <v>30000</v>
      </c>
      <c r="E5" s="5" t="n">
        <v>3000</v>
      </c>
      <c r="F5" s="5" t="n">
        <v>0</v>
      </c>
      <c r="G5" s="5" t="n">
        <v>0</v>
      </c>
      <c r="H5" s="5" t="n">
        <v>27000</v>
      </c>
    </row>
    <row r="6">
      <c r="A6" s="3" t="n">
        <v>46275</v>
      </c>
      <c r="B6" s="4" t="inlineStr">
        <is>
          <t>V-005</t>
        </is>
      </c>
      <c r="C6" s="4" t="inlineStr">
        <is>
          <t>Stationery</t>
        </is>
      </c>
      <c r="D6" s="5" t="n">
        <v>20000</v>
      </c>
      <c r="E6" s="5" t="n">
        <v>2000</v>
      </c>
      <c r="F6" s="5" t="n">
        <v>0</v>
      </c>
      <c r="G6" s="5" t="n">
        <v>0</v>
      </c>
      <c r="H6" s="5" t="n">
        <v>18000</v>
      </c>
    </row>
    <row r="7">
      <c r="A7" s="3" t="n">
        <v>46277</v>
      </c>
      <c r="B7" s="4" t="inlineStr">
        <is>
          <t>V-006</t>
        </is>
      </c>
      <c r="C7" s="4" t="inlineStr">
        <is>
          <t>Software Subscription</t>
        </is>
      </c>
      <c r="D7" s="5" t="n">
        <v>60000</v>
      </c>
      <c r="E7" s="5" t="n">
        <v>6000</v>
      </c>
      <c r="F7" s="5" t="n">
        <v>0</v>
      </c>
      <c r="G7" s="5" t="n">
        <v>0</v>
      </c>
      <c r="H7" s="5" t="n">
        <v>54000</v>
      </c>
    </row>
    <row r="8">
      <c r="A8" s="3" t="n">
        <v>46280</v>
      </c>
      <c r="B8" s="4" t="inlineStr">
        <is>
          <t>P-001</t>
        </is>
      </c>
      <c r="C8" s="4" t="inlineStr">
        <is>
          <t>Payment against V-001</t>
        </is>
      </c>
      <c r="D8" s="5" t="n">
        <v>0</v>
      </c>
      <c r="E8" s="5" t="n">
        <v>0</v>
      </c>
      <c r="F8" s="5" t="n">
        <v>45000</v>
      </c>
      <c r="G8" s="5" t="n">
        <v>0</v>
      </c>
      <c r="H8" s="5" t="n">
        <v>-45000</v>
      </c>
    </row>
    <row r="9">
      <c r="A9" s="3" t="n">
        <v>46283</v>
      </c>
      <c r="B9" s="4" t="inlineStr">
        <is>
          <t>CN-001</t>
        </is>
      </c>
      <c r="C9" s="4" t="inlineStr">
        <is>
          <t>Credit Note</t>
        </is>
      </c>
      <c r="D9" s="5" t="n">
        <v>0</v>
      </c>
      <c r="E9" s="5" t="n">
        <v>0</v>
      </c>
      <c r="F9" s="5" t="n">
        <v>0</v>
      </c>
      <c r="G9" s="5" t="n">
        <v>5000</v>
      </c>
      <c r="H9" s="5" t="n">
        <v>-5000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Invoice/Ref No</t>
        </is>
      </c>
      <c r="C1" s="2" t="inlineStr">
        <is>
          <t>Description</t>
        </is>
      </c>
      <c r="D1" s="2" t="inlineStr">
        <is>
          <t>Debit</t>
        </is>
      </c>
      <c r="E1" s="2" t="inlineStr">
        <is>
          <t>Credit</t>
        </is>
      </c>
      <c r="F1" s="2" t="inlineStr">
        <is>
          <t>Balance</t>
        </is>
      </c>
    </row>
    <row r="2">
      <c r="A2" s="3" t="n">
        <v>46266</v>
      </c>
      <c r="B2" s="4" t="inlineStr">
        <is>
          <t>V-001</t>
        </is>
      </c>
      <c r="C2" s="4" t="inlineStr">
        <is>
          <t>Office Supplies</t>
        </is>
      </c>
      <c r="D2" s="5" t="n">
        <v>50000</v>
      </c>
      <c r="E2" s="5" t="n">
        <v>5000</v>
      </c>
      <c r="F2" s="5" t="n">
        <v>45000</v>
      </c>
    </row>
    <row r="3">
      <c r="A3" s="3" t="n">
        <v>46268</v>
      </c>
      <c r="B3" s="4" t="inlineStr">
        <is>
          <t>V-002</t>
        </is>
      </c>
      <c r="C3" s="4" t="inlineStr">
        <is>
          <t>IT Services</t>
        </is>
      </c>
      <c r="D3" s="5" t="n">
        <v>75000</v>
      </c>
      <c r="E3" s="5" t="n">
        <v>7500</v>
      </c>
      <c r="F3" s="5" t="n">
        <v>67500</v>
      </c>
    </row>
    <row r="4">
      <c r="A4" s="3" t="n">
        <v>46270</v>
      </c>
      <c r="B4" s="4" t="inlineStr">
        <is>
          <t>V-003</t>
        </is>
      </c>
      <c r="C4" s="4" t="inlineStr">
        <is>
          <t>Consultancy</t>
        </is>
      </c>
      <c r="D4" s="5" t="n">
        <v>40000</v>
      </c>
      <c r="E4" s="5" t="n">
        <v>4000</v>
      </c>
      <c r="F4" s="5" t="n">
        <v>36000</v>
      </c>
    </row>
    <row r="5">
      <c r="A5" s="3" t="n">
        <v>46272</v>
      </c>
      <c r="B5" s="4" t="inlineStr">
        <is>
          <t>V-004</t>
        </is>
      </c>
      <c r="C5" s="4" t="inlineStr">
        <is>
          <t>Office Maintenance</t>
        </is>
      </c>
      <c r="D5" s="5" t="n">
        <v>30000</v>
      </c>
      <c r="E5" s="5" t="n">
        <v>3000</v>
      </c>
      <c r="F5" s="5" t="n">
        <v>27000</v>
      </c>
    </row>
    <row r="6">
      <c r="A6" s="3" t="n">
        <v>46275</v>
      </c>
      <c r="B6" s="4" t="inlineStr">
        <is>
          <t>V-005</t>
        </is>
      </c>
      <c r="C6" s="4" t="inlineStr">
        <is>
          <t>Stationery</t>
        </is>
      </c>
      <c r="D6" s="5" t="n">
        <v>20000</v>
      </c>
      <c r="E6" s="5" t="n">
        <v>2000</v>
      </c>
      <c r="F6" s="5" t="n">
        <v>18000</v>
      </c>
    </row>
    <row r="7">
      <c r="A7" s="3" t="n">
        <v>46277</v>
      </c>
      <c r="B7" s="4" t="inlineStr">
        <is>
          <t>V-006</t>
        </is>
      </c>
      <c r="C7" s="4" t="inlineStr">
        <is>
          <t>Software Subscription</t>
        </is>
      </c>
      <c r="D7" s="5" t="n">
        <v>60000</v>
      </c>
      <c r="E7" s="5" t="n">
        <v>6000</v>
      </c>
      <c r="F7" s="5" t="n">
        <v>54000</v>
      </c>
    </row>
    <row r="8">
      <c r="A8" s="3" t="n">
        <v>46281</v>
      </c>
      <c r="B8" s="4" t="inlineStr">
        <is>
          <t>P-001</t>
        </is>
      </c>
      <c r="C8" s="4" t="inlineStr">
        <is>
          <t>Payment received</t>
        </is>
      </c>
      <c r="D8" s="5" t="n">
        <v>0</v>
      </c>
      <c r="E8" s="5" t="n">
        <v>45000</v>
      </c>
      <c r="F8" s="5" t="n">
        <v>-45000</v>
      </c>
    </row>
    <row r="9">
      <c r="A9" s="3" t="n">
        <v>46285</v>
      </c>
      <c r="B9" s="4" t="inlineStr">
        <is>
          <t>CN-001</t>
        </is>
      </c>
      <c r="C9" s="4" t="inlineStr">
        <is>
          <t>Credit Note</t>
        </is>
      </c>
      <c r="D9" s="5" t="n">
        <v>0</v>
      </c>
      <c r="E9" s="5" t="n">
        <v>5000</v>
      </c>
      <c r="F9" s="5" t="n">
        <v>-5000</v>
      </c>
    </row>
    <row r="10">
      <c r="A10" s="3" t="n">
        <v>46286</v>
      </c>
      <c r="B10" s="4" t="inlineStr">
        <is>
          <t>V-007</t>
        </is>
      </c>
      <c r="C10" s="4" t="inlineStr">
        <is>
          <t>Additional service invoice</t>
        </is>
      </c>
      <c r="D10" s="5" t="n">
        <v>25000</v>
      </c>
      <c r="E10" s="5" t="n">
        <v>2500</v>
      </c>
      <c r="F10" s="5" t="n">
        <v>22500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26" customWidth="1" min="5" max="5"/>
    <col width="55" customWidth="1" min="6" max="6"/>
  </cols>
  <sheetData>
    <row r="1">
      <c r="A1" s="2" t="inlineStr">
        <is>
          <t>Reference No</t>
        </is>
      </c>
      <c r="B1" s="2" t="inlineStr">
        <is>
          <t>Book Amount</t>
        </is>
      </c>
      <c r="C1" s="2" t="inlineStr">
        <is>
          <t>Statement Amount</t>
        </is>
      </c>
      <c r="D1" s="2" t="inlineStr">
        <is>
          <t>Difference</t>
        </is>
      </c>
      <c r="E1" s="2" t="inlineStr">
        <is>
          <t>Status</t>
        </is>
      </c>
      <c r="F1" s="2" t="inlineStr">
        <is>
          <t>Action</t>
        </is>
      </c>
    </row>
    <row r="2">
      <c r="A2" s="4" t="inlineStr">
        <is>
          <t>V-001</t>
        </is>
      </c>
      <c r="B2" s="5">
        <f>IFERROR(VLOOKUP(A2,Vendor_Ledger!B:H,7,FALSE),"")</f>
        <v/>
      </c>
      <c r="C2" s="5">
        <f>IFERROR(VLOOKUP(A2,Vendor_Statement!B:F,5,FALSE),"")</f>
        <v/>
      </c>
      <c r="D2" s="5">
        <f>IF(OR(B2="",C2=""),"",B2-C2)</f>
        <v/>
      </c>
      <c r="E2" s="4">
        <f>IF(B2="","Missing in Books",IF(C2="","Missing in Vendor Statement",IF(B2=C2,"Matched","Difference")))</f>
        <v/>
      </c>
      <c r="F2" s="4">
        <f>IF(E2="Matched","No action",IF(E2="Missing in Books","Verify invoice and record if valid",IF(E2="Missing in Vendor Statement","Ask vendor for confirmation","Investigate difference")))</f>
        <v/>
      </c>
    </row>
    <row r="3">
      <c r="A3" s="4" t="inlineStr">
        <is>
          <t>V-002</t>
        </is>
      </c>
      <c r="B3" s="5">
        <f>IFERROR(VLOOKUP(A3,Vendor_Ledger!B:H,7,FALSE),"")</f>
        <v/>
      </c>
      <c r="C3" s="5">
        <f>IFERROR(VLOOKUP(A3,Vendor_Statement!B:F,5,FALSE),"")</f>
        <v/>
      </c>
      <c r="D3" s="5">
        <f>IF(OR(B3="",C3=""),"",B3-C3)</f>
        <v/>
      </c>
      <c r="E3" s="4">
        <f>IF(B3="","Missing in Books",IF(C3="","Missing in Vendor Statement",IF(B3=C3,"Matched","Difference")))</f>
        <v/>
      </c>
      <c r="F3" s="4">
        <f>IF(E3="Matched","No action",IF(E3="Missing in Books","Verify invoice and record if valid",IF(E3="Missing in Vendor Statement","Ask vendor for confirmation","Investigate difference")))</f>
        <v/>
      </c>
    </row>
    <row r="4">
      <c r="A4" s="4" t="inlineStr">
        <is>
          <t>V-003</t>
        </is>
      </c>
      <c r="B4" s="5">
        <f>IFERROR(VLOOKUP(A4,Vendor_Ledger!B:H,7,FALSE),"")</f>
        <v/>
      </c>
      <c r="C4" s="5">
        <f>IFERROR(VLOOKUP(A4,Vendor_Statement!B:F,5,FALSE),"")</f>
        <v/>
      </c>
      <c r="D4" s="5">
        <f>IF(OR(B4="",C4=""),"",B4-C4)</f>
        <v/>
      </c>
      <c r="E4" s="4">
        <f>IF(B4="","Missing in Books",IF(C4="","Missing in Vendor Statement",IF(B4=C4,"Matched","Difference")))</f>
        <v/>
      </c>
      <c r="F4" s="4">
        <f>IF(E4="Matched","No action",IF(E4="Missing in Books","Verify invoice and record if valid",IF(E4="Missing in Vendor Statement","Ask vendor for confirmation","Investigate difference")))</f>
        <v/>
      </c>
    </row>
    <row r="5">
      <c r="A5" s="4" t="inlineStr">
        <is>
          <t>V-004</t>
        </is>
      </c>
      <c r="B5" s="5">
        <f>IFERROR(VLOOKUP(A5,Vendor_Ledger!B:H,7,FALSE),"")</f>
        <v/>
      </c>
      <c r="C5" s="5">
        <f>IFERROR(VLOOKUP(A5,Vendor_Statement!B:F,5,FALSE),"")</f>
        <v/>
      </c>
      <c r="D5" s="5">
        <f>IF(OR(B5="",C5=""),"",B5-C5)</f>
        <v/>
      </c>
      <c r="E5" s="4">
        <f>IF(B5="","Missing in Books",IF(C5="","Missing in Vendor Statement",IF(B5=C5,"Matched","Difference")))</f>
        <v/>
      </c>
      <c r="F5" s="4">
        <f>IF(E5="Matched","No action",IF(E5="Missing in Books","Verify invoice and record if valid",IF(E5="Missing in Vendor Statement","Ask vendor for confirmation","Investigate difference")))</f>
        <v/>
      </c>
    </row>
    <row r="6">
      <c r="A6" s="4" t="inlineStr">
        <is>
          <t>V-005</t>
        </is>
      </c>
      <c r="B6" s="5">
        <f>IFERROR(VLOOKUP(A6,Vendor_Ledger!B:H,7,FALSE),"")</f>
        <v/>
      </c>
      <c r="C6" s="5">
        <f>IFERROR(VLOOKUP(A6,Vendor_Statement!B:F,5,FALSE),"")</f>
        <v/>
      </c>
      <c r="D6" s="5">
        <f>IF(OR(B6="",C6=""),"",B6-C6)</f>
        <v/>
      </c>
      <c r="E6" s="4">
        <f>IF(B6="","Missing in Books",IF(C6="","Missing in Vendor Statement",IF(B6=C6,"Matched","Difference")))</f>
        <v/>
      </c>
      <c r="F6" s="4">
        <f>IF(E6="Matched","No action",IF(E6="Missing in Books","Verify invoice and record if valid",IF(E6="Missing in Vendor Statement","Ask vendor for confirmation","Investigate difference")))</f>
        <v/>
      </c>
    </row>
    <row r="7">
      <c r="A7" s="4" t="inlineStr">
        <is>
          <t>V-006</t>
        </is>
      </c>
      <c r="B7" s="5">
        <f>IFERROR(VLOOKUP(A7,Vendor_Ledger!B:H,7,FALSE),"")</f>
        <v/>
      </c>
      <c r="C7" s="5">
        <f>IFERROR(VLOOKUP(A7,Vendor_Statement!B:F,5,FALSE),"")</f>
        <v/>
      </c>
      <c r="D7" s="5">
        <f>IF(OR(B7="",C7=""),"",B7-C7)</f>
        <v/>
      </c>
      <c r="E7" s="4">
        <f>IF(B7="","Missing in Books",IF(C7="","Missing in Vendor Statement",IF(B7=C7,"Matched","Difference")))</f>
        <v/>
      </c>
      <c r="F7" s="4">
        <f>IF(E7="Matched","No action",IF(E7="Missing in Books","Verify invoice and record if valid",IF(E7="Missing in Vendor Statement","Ask vendor for confirmation","Investigate difference")))</f>
        <v/>
      </c>
    </row>
    <row r="8">
      <c r="A8" s="4" t="inlineStr">
        <is>
          <t>P-001</t>
        </is>
      </c>
      <c r="B8" s="5">
        <f>IFERROR(VLOOKUP(A8,Vendor_Ledger!B:H,7,FALSE),"")</f>
        <v/>
      </c>
      <c r="C8" s="5">
        <f>IFERROR(VLOOKUP(A8,Vendor_Statement!B:F,5,FALSE),"")</f>
        <v/>
      </c>
      <c r="D8" s="5">
        <f>IF(OR(B8="",C8=""),"",B8-C8)</f>
        <v/>
      </c>
      <c r="E8" s="4">
        <f>IF(B8="","Missing in Books",IF(C8="","Missing in Vendor Statement",IF(B8=C8,"Matched","Difference")))</f>
        <v/>
      </c>
      <c r="F8" s="4">
        <f>IF(E8="Matched","No action",IF(E8="Missing in Books","Verify invoice and record if valid",IF(E8="Missing in Vendor Statement","Ask vendor for confirmation","Investigate difference")))</f>
        <v/>
      </c>
    </row>
    <row r="9">
      <c r="A9" s="4" t="inlineStr">
        <is>
          <t>CN-001</t>
        </is>
      </c>
      <c r="B9" s="5">
        <f>IFERROR(VLOOKUP(A9,Vendor_Ledger!B:H,7,FALSE),"")</f>
        <v/>
      </c>
      <c r="C9" s="5">
        <f>IFERROR(VLOOKUP(A9,Vendor_Statement!B:F,5,FALSE),"")</f>
        <v/>
      </c>
      <c r="D9" s="5">
        <f>IF(OR(B9="",C9=""),"",B9-C9)</f>
        <v/>
      </c>
      <c r="E9" s="4">
        <f>IF(B9="","Missing in Books",IF(C9="","Missing in Vendor Statement",IF(B9=C9,"Matched","Difference")))</f>
        <v/>
      </c>
      <c r="F9" s="4">
        <f>IF(E9="Matched","No action",IF(E9="Missing in Books","Verify invoice and record if valid",IF(E9="Missing in Vendor Statement","Ask vendor for confirmation","Investigate difference")))</f>
        <v/>
      </c>
    </row>
    <row r="10">
      <c r="A10" s="4" t="inlineStr">
        <is>
          <t>V-007</t>
        </is>
      </c>
      <c r="B10" s="5">
        <f>IFERROR(VLOOKUP(A10,Vendor_Ledger!B:H,7,FALSE),"")</f>
        <v/>
      </c>
      <c r="C10" s="5">
        <f>IFERROR(VLOOKUP(A10,Vendor_Statement!B:F,5,FALSE),"")</f>
        <v/>
      </c>
      <c r="D10" s="5">
        <f>IF(OR(B10="",C10=""),"",B10-C10)</f>
        <v/>
      </c>
      <c r="E10" s="4">
        <f>IF(B10="","Missing in Books",IF(C10="","Missing in Vendor Statement",IF(B10=C10,"Matched","Difference")))</f>
        <v/>
      </c>
      <c r="F10" s="4">
        <f>IF(E10="Matched","No action",IF(E10="Missing in Books","Verify invoice and record if valid",IF(E10="Missing in Vendor Statement","Ask vendor for confirmation","Investigate difference")))</f>
        <v/>
      </c>
    </row>
  </sheetData>
  <conditionalFormatting sqref="E2:E10">
    <cfRule type="expression" priority="1" stopIfTrue="1">
      <formula>E2="Matched"</formula>
    </cfRule>
    <cfRule type="expression" priority="2" stopIfTrue="1">
      <formula>E2="Difference"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2" t="inlineStr">
        <is>
          <t>Vendor Reconciliation Summary</t>
        </is>
      </c>
      <c r="B1" s="2" t="n"/>
    </row>
    <row r="2">
      <c r="A2" s="4" t="inlineStr">
        <is>
          <t>Metric</t>
        </is>
      </c>
      <c r="B2" s="4" t="inlineStr">
        <is>
          <t>Value</t>
        </is>
      </c>
    </row>
    <row r="3">
      <c r="A3" s="4" t="inlineStr">
        <is>
          <t>References Reviewed</t>
        </is>
      </c>
      <c r="B3" s="4">
        <f>COUNTA(Reconciliation!A2:A10)</f>
        <v/>
      </c>
    </row>
    <row r="4">
      <c r="A4" s="4" t="inlineStr">
        <is>
          <t>Matched</t>
        </is>
      </c>
      <c r="B4" s="4">
        <f>COUNTIF(Reconciliation!E2:E10,"Matched")</f>
        <v/>
      </c>
    </row>
    <row r="5">
      <c r="A5" s="4" t="inlineStr">
        <is>
          <t>Missing in Books</t>
        </is>
      </c>
      <c r="B5" s="4">
        <f>COUNTIF(Reconciliation!E2:E10,"Missing in Books")</f>
        <v/>
      </c>
    </row>
    <row r="6">
      <c r="A6" s="4" t="inlineStr">
        <is>
          <t>Missing in Vendor Statement</t>
        </is>
      </c>
      <c r="B6" s="4">
        <f>COUNTIF(Reconciliation!E2:E10,"Missing in Vendor Statement")</f>
        <v/>
      </c>
    </row>
    <row r="7">
      <c r="A7" s="4" t="inlineStr">
        <is>
          <t>Differences</t>
        </is>
      </c>
      <c r="B7" s="4">
        <f>COUNTIF(Reconciliation!E2:E10,"Difference")</f>
        <v/>
      </c>
    </row>
    <row r="8">
      <c r="A8" s="4" t="inlineStr">
        <is>
          <t>Book Balance Total</t>
        </is>
      </c>
      <c r="B8" s="4">
        <f>SUM(Vendor_Ledger!H2:H9)</f>
        <v/>
      </c>
    </row>
    <row r="9">
      <c r="A9" s="4" t="inlineStr">
        <is>
          <t>Vendor Statement Balance Total</t>
        </is>
      </c>
      <c r="B9" s="4">
        <f>SUM(Vendor_Statement!F2:F10)</f>
        <v/>
      </c>
    </row>
    <row r="10">
      <c r="A10" s="4" t="inlineStr">
        <is>
          <t>Portfolio Note</t>
        </is>
      </c>
      <c r="B10" s="4" t="inlineStr">
        <is>
          <t>Fictional data for learning and portfolio practice.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2026-10-02T06:37:28Z</dcterms:created>
  <dcterms:modified xmlns:dcterms="http://purl.org/dc/terms/" xmlns:xsi="http://www.w3.org/2001/XMLSchema-instance" xsi:type="dcterms:W3CDTF">2026-10-02T06:37:28Z</dcterms:modified>
</cp:coreProperties>
</file>