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Books_Data" sheetId="2" state="visible" r:id="rId2"/>
    <sheet xmlns:r="http://schemas.openxmlformats.org/officeDocument/2006/relationships" name="Bank_Data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ooksDataTable" displayName="BooksDataTable" ref="A1:F11" headerRowCount="1">
  <autoFilter ref="A1:F11"/>
  <tableColumns count="6">
    <tableColumn id="1" name="Date"/>
    <tableColumn id="2" name="Ref No"/>
    <tableColumn id="3" name="Description"/>
    <tableColumn id="4" name="Debit"/>
    <tableColumn id="5" name="Credit"/>
    <tableColumn id="6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nkDataTable" displayName="BankDataTable" ref="A1:F11" headerRowCount="1">
  <autoFilter ref="A1:F11"/>
  <tableColumns count="6">
    <tableColumn id="1" name="Date"/>
    <tableColumn id="2" name="Ref No"/>
    <tableColumn id="3" name="Description"/>
    <tableColumn id="4" name="Debit"/>
    <tableColumn id="5" name="Credit"/>
    <tableColumn id="6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MoneyKiBaatein – Bank Reconciliation Practice Project</t>
        </is>
      </c>
    </row>
    <row r="2">
      <c r="A2" s="2" t="inlineStr">
        <is>
          <t>Objective</t>
        </is>
      </c>
      <c r="B2" s="2" t="inlineStr">
        <is>
          <t>Practice a real-world accountant workflow: Books vs Bank Statement reconciliation.</t>
        </is>
      </c>
    </row>
    <row r="3">
      <c r="A3" t="inlineStr">
        <is>
          <t>Step 1</t>
        </is>
      </c>
      <c r="B3" t="inlineStr">
        <is>
          <t>Review Books_Data and Bank_Data.</t>
        </is>
      </c>
    </row>
    <row r="4">
      <c r="A4" t="inlineStr">
        <is>
          <t>Step 2</t>
        </is>
      </c>
      <c r="B4" t="inlineStr">
        <is>
          <t>Compare transaction reference numbers and amounts.</t>
        </is>
      </c>
    </row>
    <row r="5">
      <c r="A5" t="inlineStr">
        <is>
          <t>Step 3</t>
        </is>
      </c>
      <c r="B5" t="inlineStr">
        <is>
          <t>Complete the Reconciliation sheet.</t>
        </is>
      </c>
    </row>
    <row r="6">
      <c r="A6" t="inlineStr">
        <is>
          <t>Step 4</t>
        </is>
      </c>
      <c r="B6" t="inlineStr">
        <is>
          <t>Identify matched, outstanding, bank-only and amount-difference items.</t>
        </is>
      </c>
    </row>
    <row r="7">
      <c r="A7" t="inlineStr">
        <is>
          <t>Step 5</t>
        </is>
      </c>
      <c r="B7" t="inlineStr">
        <is>
          <t>Review the Summary sheet.</t>
        </is>
      </c>
    </row>
    <row r="8">
      <c r="A8" t="inlineStr">
        <is>
          <t>Portfolio Use</t>
        </is>
      </c>
      <c r="B8" t="inlineStr">
        <is>
          <t>This workbook uses fictional data and can be uploaded to GitHub as an accounting portfolio project.</t>
        </is>
      </c>
    </row>
    <row r="9">
      <c r="A9" t="inlineStr">
        <is>
          <t>Privacy</t>
        </is>
      </c>
      <c r="B9" t="inlineStr">
        <is>
          <t>Do not upload confidential employer/client bank data to GitHub.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8" customWidth="1" min="3" max="3"/>
    <col width="14" customWidth="1" min="4" max="4"/>
    <col width="14" customWidth="1" min="5" max="5"/>
    <col width="16" customWidth="1" min="6" max="6"/>
  </cols>
  <sheetData>
    <row r="1">
      <c r="A1" s="3" t="inlineStr">
        <is>
          <t>Date</t>
        </is>
      </c>
      <c r="B1" s="3" t="inlineStr">
        <is>
          <t>Ref No</t>
        </is>
      </c>
      <c r="C1" s="3" t="inlineStr">
        <is>
          <t>Description</t>
        </is>
      </c>
      <c r="D1" s="3" t="inlineStr">
        <is>
          <t>Debit</t>
        </is>
      </c>
      <c r="E1" s="3" t="inlineStr">
        <is>
          <t>Credit</t>
        </is>
      </c>
      <c r="F1" s="3" t="inlineStr">
        <is>
          <t>Amount</t>
        </is>
      </c>
    </row>
    <row r="2">
      <c r="A2" s="4" t="n">
        <v>46266</v>
      </c>
      <c r="B2" s="5" t="inlineStr">
        <is>
          <t>BR-001</t>
        </is>
      </c>
      <c r="C2" s="5" t="inlineStr">
        <is>
          <t>Customer Receipt – ABC Traders</t>
        </is>
      </c>
      <c r="D2" s="5" t="n">
        <v>0</v>
      </c>
      <c r="E2" s="5" t="n">
        <v>25000</v>
      </c>
      <c r="F2" s="6" t="n">
        <v>25000</v>
      </c>
    </row>
    <row r="3">
      <c r="A3" s="4" t="n">
        <v>46267</v>
      </c>
      <c r="B3" s="5" t="inlineStr">
        <is>
          <t>BR-002</t>
        </is>
      </c>
      <c r="C3" s="5" t="inlineStr">
        <is>
          <t>Vendor Payment – XYZ Suppliers</t>
        </is>
      </c>
      <c r="D3" s="5" t="n">
        <v>15000</v>
      </c>
      <c r="E3" s="5" t="n">
        <v>0</v>
      </c>
      <c r="F3" s="6" t="n">
        <v>15000</v>
      </c>
    </row>
    <row r="4">
      <c r="A4" s="4" t="n">
        <v>46268</v>
      </c>
      <c r="B4" s="5" t="inlineStr">
        <is>
          <t>BR-003</t>
        </is>
      </c>
      <c r="C4" s="5" t="inlineStr">
        <is>
          <t>Office Rent</t>
        </is>
      </c>
      <c r="D4" s="5" t="n">
        <v>12000</v>
      </c>
      <c r="E4" s="5" t="n">
        <v>0</v>
      </c>
      <c r="F4" s="6" t="n">
        <v>12000</v>
      </c>
    </row>
    <row r="5">
      <c r="A5" s="4" t="n">
        <v>46269</v>
      </c>
      <c r="B5" s="5" t="inlineStr">
        <is>
          <t>BR-004</t>
        </is>
      </c>
      <c r="C5" s="5" t="inlineStr">
        <is>
          <t>Customer Receipt – PQR Ltd</t>
        </is>
      </c>
      <c r="D5" s="5" t="n">
        <v>0</v>
      </c>
      <c r="E5" s="5" t="n">
        <v>30000</v>
      </c>
      <c r="F5" s="6" t="n">
        <v>30000</v>
      </c>
    </row>
    <row r="6">
      <c r="A6" s="4" t="n">
        <v>46270</v>
      </c>
      <c r="B6" s="5" t="inlineStr">
        <is>
          <t>BR-005</t>
        </is>
      </c>
      <c r="C6" s="5" t="inlineStr">
        <is>
          <t>Bank Charges</t>
        </is>
      </c>
      <c r="D6" s="5" t="n">
        <v>0</v>
      </c>
      <c r="E6" s="5" t="n">
        <v>0</v>
      </c>
      <c r="F6" s="6" t="n">
        <v>500</v>
      </c>
    </row>
    <row r="7">
      <c r="A7" s="4" t="n">
        <v>46271</v>
      </c>
      <c r="B7" s="5" t="inlineStr">
        <is>
          <t>BR-006</t>
        </is>
      </c>
      <c r="C7" s="5" t="inlineStr">
        <is>
          <t>Vendor Payment – LMN Traders</t>
        </is>
      </c>
      <c r="D7" s="5" t="n">
        <v>18000</v>
      </c>
      <c r="E7" s="5" t="n">
        <v>0</v>
      </c>
      <c r="F7" s="6" t="n">
        <v>18000</v>
      </c>
    </row>
    <row r="8">
      <c r="A8" s="4" t="n">
        <v>46272</v>
      </c>
      <c r="B8" s="5" t="inlineStr">
        <is>
          <t>BR-007</t>
        </is>
      </c>
      <c r="C8" s="5" t="inlineStr">
        <is>
          <t>Customer Receipt – DEF Ltd</t>
        </is>
      </c>
      <c r="D8" s="5" t="n">
        <v>0</v>
      </c>
      <c r="E8" s="5" t="n">
        <v>22000</v>
      </c>
      <c r="F8" s="6" t="n">
        <v>22000</v>
      </c>
    </row>
    <row r="9">
      <c r="A9" s="4" t="n">
        <v>46273</v>
      </c>
      <c r="B9" s="5" t="inlineStr">
        <is>
          <t>BR-008</t>
        </is>
      </c>
      <c r="C9" s="5" t="inlineStr">
        <is>
          <t>Cheque Issued – GHI Services</t>
        </is>
      </c>
      <c r="D9" s="5" t="n">
        <v>10000</v>
      </c>
      <c r="E9" s="5" t="n">
        <v>0</v>
      </c>
      <c r="F9" s="6" t="n">
        <v>10000</v>
      </c>
    </row>
    <row r="10">
      <c r="A10" s="4" t="n">
        <v>46274</v>
      </c>
      <c r="B10" s="5" t="inlineStr">
        <is>
          <t>BR-009</t>
        </is>
      </c>
      <c r="C10" s="5" t="inlineStr">
        <is>
          <t>Customer Receipt – JKL Pvt Ltd</t>
        </is>
      </c>
      <c r="D10" s="5" t="n">
        <v>0</v>
      </c>
      <c r="E10" s="5" t="n">
        <v>15000</v>
      </c>
      <c r="F10" s="6" t="n">
        <v>15000</v>
      </c>
    </row>
    <row r="11">
      <c r="A11" s="4" t="n">
        <v>46275</v>
      </c>
      <c r="B11" s="5" t="inlineStr">
        <is>
          <t>BR-010</t>
        </is>
      </c>
      <c r="C11" s="5" t="inlineStr">
        <is>
          <t>Electricity Expense</t>
        </is>
      </c>
      <c r="D11" s="5" t="n">
        <v>6500</v>
      </c>
      <c r="E11" s="5" t="n">
        <v>0</v>
      </c>
      <c r="F11" s="6" t="n">
        <v>6500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8" customWidth="1" min="3" max="3"/>
    <col width="14" customWidth="1" min="4" max="4"/>
    <col width="14" customWidth="1" min="5" max="5"/>
    <col width="16" customWidth="1" min="6" max="6"/>
  </cols>
  <sheetData>
    <row r="1">
      <c r="A1" s="3" t="inlineStr">
        <is>
          <t>Date</t>
        </is>
      </c>
      <c r="B1" s="3" t="inlineStr">
        <is>
          <t>Ref No</t>
        </is>
      </c>
      <c r="C1" s="3" t="inlineStr">
        <is>
          <t>Description</t>
        </is>
      </c>
      <c r="D1" s="3" t="inlineStr">
        <is>
          <t>Debit</t>
        </is>
      </c>
      <c r="E1" s="3" t="inlineStr">
        <is>
          <t>Credit</t>
        </is>
      </c>
      <c r="F1" s="3" t="inlineStr">
        <is>
          <t>Amount</t>
        </is>
      </c>
    </row>
    <row r="2">
      <c r="A2" s="4" t="n">
        <v>46266</v>
      </c>
      <c r="B2" s="5" t="inlineStr">
        <is>
          <t>BR-001</t>
        </is>
      </c>
      <c r="C2" s="5" t="inlineStr">
        <is>
          <t>Customer Receipt – ABC Traders</t>
        </is>
      </c>
      <c r="D2" s="5" t="n">
        <v>0</v>
      </c>
      <c r="E2" s="5" t="n">
        <v>25000</v>
      </c>
      <c r="F2" s="6" t="n">
        <v>25000</v>
      </c>
    </row>
    <row r="3">
      <c r="A3" s="4" t="n">
        <v>46267</v>
      </c>
      <c r="B3" s="5" t="inlineStr">
        <is>
          <t>BR-002</t>
        </is>
      </c>
      <c r="C3" s="5" t="inlineStr">
        <is>
          <t>Vendor Payment – XYZ Suppliers</t>
        </is>
      </c>
      <c r="D3" s="5" t="n">
        <v>15000</v>
      </c>
      <c r="E3" s="5" t="n">
        <v>0</v>
      </c>
      <c r="F3" s="6" t="n">
        <v>15000</v>
      </c>
    </row>
    <row r="4">
      <c r="A4" s="4" t="n">
        <v>46268</v>
      </c>
      <c r="B4" s="5" t="inlineStr">
        <is>
          <t>BR-003</t>
        </is>
      </c>
      <c r="C4" s="5" t="inlineStr">
        <is>
          <t>Office Rent</t>
        </is>
      </c>
      <c r="D4" s="5" t="n">
        <v>12000</v>
      </c>
      <c r="E4" s="5" t="n">
        <v>0</v>
      </c>
      <c r="F4" s="6" t="n">
        <v>12000</v>
      </c>
    </row>
    <row r="5">
      <c r="A5" s="4" t="n">
        <v>46269</v>
      </c>
      <c r="B5" s="5" t="inlineStr">
        <is>
          <t>BR-004</t>
        </is>
      </c>
      <c r="C5" s="5" t="inlineStr">
        <is>
          <t>Customer Receipt – PQR Ltd</t>
        </is>
      </c>
      <c r="D5" s="5" t="n">
        <v>0</v>
      </c>
      <c r="E5" s="5" t="n">
        <v>30000</v>
      </c>
      <c r="F5" s="6" t="n">
        <v>30000</v>
      </c>
    </row>
    <row r="6">
      <c r="A6" s="4" t="n">
        <v>46270</v>
      </c>
      <c r="B6" s="5" t="inlineStr">
        <is>
          <t>BC-001</t>
        </is>
      </c>
      <c r="C6" s="5" t="inlineStr">
        <is>
          <t>Bank Charges</t>
        </is>
      </c>
      <c r="D6" s="5" t="n">
        <v>500</v>
      </c>
      <c r="E6" s="5" t="n">
        <v>0</v>
      </c>
      <c r="F6" s="6" t="n">
        <v>500</v>
      </c>
    </row>
    <row r="7">
      <c r="A7" s="4" t="n">
        <v>46272</v>
      </c>
      <c r="B7" s="5" t="inlineStr">
        <is>
          <t>BR-007</t>
        </is>
      </c>
      <c r="C7" s="5" t="inlineStr">
        <is>
          <t>Customer Receipt – DEF Ltd</t>
        </is>
      </c>
      <c r="D7" s="5" t="n">
        <v>0</v>
      </c>
      <c r="E7" s="5" t="n">
        <v>22000</v>
      </c>
      <c r="F7" s="6" t="n">
        <v>22000</v>
      </c>
    </row>
    <row r="8">
      <c r="A8" s="4" t="n">
        <v>46274</v>
      </c>
      <c r="B8" s="5" t="inlineStr">
        <is>
          <t>BR-009</t>
        </is>
      </c>
      <c r="C8" s="5" t="inlineStr">
        <is>
          <t>Customer Receipt – JKL Pvt Ltd</t>
        </is>
      </c>
      <c r="D8" s="5" t="n">
        <v>0</v>
      </c>
      <c r="E8" s="5" t="n">
        <v>15000</v>
      </c>
      <c r="F8" s="6" t="n">
        <v>15000</v>
      </c>
    </row>
    <row r="9">
      <c r="A9" s="4" t="n">
        <v>46276</v>
      </c>
      <c r="B9" s="5" t="inlineStr">
        <is>
          <t>BC-002</t>
        </is>
      </c>
      <c r="C9" s="5" t="inlineStr">
        <is>
          <t>Direct Bank Credit – Customer</t>
        </is>
      </c>
      <c r="D9" s="5" t="n">
        <v>0</v>
      </c>
      <c r="E9" s="5" t="n">
        <v>8000</v>
      </c>
      <c r="F9" s="6" t="n">
        <v>8000</v>
      </c>
    </row>
    <row r="10">
      <c r="A10" s="4" t="n">
        <v>46277</v>
      </c>
      <c r="B10" s="5" t="inlineStr">
        <is>
          <t>BR-010</t>
        </is>
      </c>
      <c r="C10" s="5" t="inlineStr">
        <is>
          <t>Electricity Expense</t>
        </is>
      </c>
      <c r="D10" s="5" t="n">
        <v>6500</v>
      </c>
      <c r="E10" s="5" t="n">
        <v>0</v>
      </c>
      <c r="F10" s="6" t="n">
        <v>6500</v>
      </c>
    </row>
    <row r="11">
      <c r="A11" s="4" t="n">
        <v>46278</v>
      </c>
      <c r="B11" s="5" t="inlineStr">
        <is>
          <t>BC-003</t>
        </is>
      </c>
      <c r="C11" s="5" t="inlineStr">
        <is>
          <t>Bank Interest</t>
        </is>
      </c>
      <c r="D11" s="5" t="n">
        <v>0</v>
      </c>
      <c r="E11" s="5" t="n">
        <v>1200</v>
      </c>
      <c r="F11" s="6" t="n">
        <v>1200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4" customWidth="1" min="5" max="5"/>
    <col width="16" customWidth="1" min="6" max="6"/>
    <col width="55" customWidth="1" min="7" max="7"/>
  </cols>
  <sheetData>
    <row r="1">
      <c r="A1" s="3" t="inlineStr">
        <is>
          <t>Book Ref</t>
        </is>
      </c>
      <c r="B1" s="3" t="inlineStr">
        <is>
          <t>Book Amount</t>
        </is>
      </c>
      <c r="C1" s="3" t="inlineStr">
        <is>
          <t>Bank Ref</t>
        </is>
      </c>
      <c r="D1" s="3" t="inlineStr">
        <is>
          <t>Bank Amount</t>
        </is>
      </c>
      <c r="E1" s="3" t="inlineStr">
        <is>
          <t>Status</t>
        </is>
      </c>
      <c r="F1" s="3" t="inlineStr">
        <is>
          <t>Difference</t>
        </is>
      </c>
      <c r="G1" s="3" t="inlineStr">
        <is>
          <t>Remarks</t>
        </is>
      </c>
    </row>
    <row r="2">
      <c r="A2" s="5">
        <f>Books_Data!B2</f>
        <v/>
      </c>
      <c r="B2" s="6">
        <f>Books_Data!F2</f>
        <v/>
      </c>
      <c r="C2" s="5">
        <f>IFERROR(VLOOKUP(A2,Bank_Data!B:F,1,FALSE),"")</f>
        <v/>
      </c>
      <c r="D2" s="6">
        <f>IFERROR(VLOOKUP(A2,Bank_Data!B:F,5,FALSE),"")</f>
        <v/>
      </c>
      <c r="E2" s="5">
        <f>IF(C2="","Outstanding in Bank",IF(B2=D2,"Matched","Amount Difference"))</f>
        <v/>
      </c>
      <c r="F2" s="6">
        <f>IF(D2="","",B2-D2)</f>
        <v/>
      </c>
      <c r="G2" s="5">
        <f>IF(E2="Matched","No action",IF(E2="Outstanding in Bank","Check whether transaction is pending/uncleared","Investigate difference"))</f>
        <v/>
      </c>
    </row>
    <row r="3">
      <c r="A3" s="5">
        <f>Books_Data!B3</f>
        <v/>
      </c>
      <c r="B3" s="6">
        <f>Books_Data!F3</f>
        <v/>
      </c>
      <c r="C3" s="5">
        <f>IFERROR(VLOOKUP(A3,Bank_Data!B:F,1,FALSE),"")</f>
        <v/>
      </c>
      <c r="D3" s="6">
        <f>IFERROR(VLOOKUP(A3,Bank_Data!B:F,5,FALSE),"")</f>
        <v/>
      </c>
      <c r="E3" s="5">
        <f>IF(C3="","Outstanding in Bank",IF(B3=D3,"Matched","Amount Difference"))</f>
        <v/>
      </c>
      <c r="F3" s="6">
        <f>IF(D3="","",B3-D3)</f>
        <v/>
      </c>
      <c r="G3" s="5">
        <f>IF(E3="Matched","No action",IF(E3="Outstanding in Bank","Check whether transaction is pending/uncleared","Investigate difference"))</f>
        <v/>
      </c>
    </row>
    <row r="4">
      <c r="A4" s="5">
        <f>Books_Data!B4</f>
        <v/>
      </c>
      <c r="B4" s="6">
        <f>Books_Data!F4</f>
        <v/>
      </c>
      <c r="C4" s="5">
        <f>IFERROR(VLOOKUP(A4,Bank_Data!B:F,1,FALSE),"")</f>
        <v/>
      </c>
      <c r="D4" s="6">
        <f>IFERROR(VLOOKUP(A4,Bank_Data!B:F,5,FALSE),"")</f>
        <v/>
      </c>
      <c r="E4" s="5">
        <f>IF(C4="","Outstanding in Bank",IF(B4=D4,"Matched","Amount Difference"))</f>
        <v/>
      </c>
      <c r="F4" s="6">
        <f>IF(D4="","",B4-D4)</f>
        <v/>
      </c>
      <c r="G4" s="5">
        <f>IF(E4="Matched","No action",IF(E4="Outstanding in Bank","Check whether transaction is pending/uncleared","Investigate difference"))</f>
        <v/>
      </c>
    </row>
    <row r="5">
      <c r="A5" s="5">
        <f>Books_Data!B5</f>
        <v/>
      </c>
      <c r="B5" s="6">
        <f>Books_Data!F5</f>
        <v/>
      </c>
      <c r="C5" s="5">
        <f>IFERROR(VLOOKUP(A5,Bank_Data!B:F,1,FALSE),"")</f>
        <v/>
      </c>
      <c r="D5" s="6">
        <f>IFERROR(VLOOKUP(A5,Bank_Data!B:F,5,FALSE),"")</f>
        <v/>
      </c>
      <c r="E5" s="5">
        <f>IF(C5="","Outstanding in Bank",IF(B5=D5,"Matched","Amount Difference"))</f>
        <v/>
      </c>
      <c r="F5" s="6">
        <f>IF(D5="","",B5-D5)</f>
        <v/>
      </c>
      <c r="G5" s="5">
        <f>IF(E5="Matched","No action",IF(E5="Outstanding in Bank","Check whether transaction is pending/uncleared","Investigate difference"))</f>
        <v/>
      </c>
    </row>
    <row r="6">
      <c r="A6" s="5">
        <f>Books_Data!B6</f>
        <v/>
      </c>
      <c r="B6" s="6">
        <f>Books_Data!F6</f>
        <v/>
      </c>
      <c r="C6" s="5">
        <f>IFERROR(VLOOKUP(A6,Bank_Data!B:F,1,FALSE),"")</f>
        <v/>
      </c>
      <c r="D6" s="6">
        <f>IFERROR(VLOOKUP(A6,Bank_Data!B:F,5,FALSE),"")</f>
        <v/>
      </c>
      <c r="E6" s="5">
        <f>IF(C6="","Outstanding in Bank",IF(B6=D6,"Matched","Amount Difference"))</f>
        <v/>
      </c>
      <c r="F6" s="6">
        <f>IF(D6="","",B6-D6)</f>
        <v/>
      </c>
      <c r="G6" s="5">
        <f>IF(E6="Matched","No action",IF(E6="Outstanding in Bank","Check whether transaction is pending/uncleared","Investigate difference"))</f>
        <v/>
      </c>
    </row>
    <row r="7">
      <c r="A7" s="5">
        <f>Books_Data!B7</f>
        <v/>
      </c>
      <c r="B7" s="6">
        <f>Books_Data!F7</f>
        <v/>
      </c>
      <c r="C7" s="5">
        <f>IFERROR(VLOOKUP(A7,Bank_Data!B:F,1,FALSE),"")</f>
        <v/>
      </c>
      <c r="D7" s="6">
        <f>IFERROR(VLOOKUP(A7,Bank_Data!B:F,5,FALSE),"")</f>
        <v/>
      </c>
      <c r="E7" s="5">
        <f>IF(C7="","Outstanding in Bank",IF(B7=D7,"Matched","Amount Difference"))</f>
        <v/>
      </c>
      <c r="F7" s="6">
        <f>IF(D7="","",B7-D7)</f>
        <v/>
      </c>
      <c r="G7" s="5">
        <f>IF(E7="Matched","No action",IF(E7="Outstanding in Bank","Check whether transaction is pending/uncleared","Investigate difference"))</f>
        <v/>
      </c>
    </row>
    <row r="8">
      <c r="A8" s="5">
        <f>Books_Data!B8</f>
        <v/>
      </c>
      <c r="B8" s="6">
        <f>Books_Data!F8</f>
        <v/>
      </c>
      <c r="C8" s="5">
        <f>IFERROR(VLOOKUP(A8,Bank_Data!B:F,1,FALSE),"")</f>
        <v/>
      </c>
      <c r="D8" s="6">
        <f>IFERROR(VLOOKUP(A8,Bank_Data!B:F,5,FALSE),"")</f>
        <v/>
      </c>
      <c r="E8" s="5">
        <f>IF(C8="","Outstanding in Bank",IF(B8=D8,"Matched","Amount Difference"))</f>
        <v/>
      </c>
      <c r="F8" s="6">
        <f>IF(D8="","",B8-D8)</f>
        <v/>
      </c>
      <c r="G8" s="5">
        <f>IF(E8="Matched","No action",IF(E8="Outstanding in Bank","Check whether transaction is pending/uncleared","Investigate difference"))</f>
        <v/>
      </c>
    </row>
    <row r="9">
      <c r="A9" s="5">
        <f>Books_Data!B9</f>
        <v/>
      </c>
      <c r="B9" s="6">
        <f>Books_Data!F9</f>
        <v/>
      </c>
      <c r="C9" s="5">
        <f>IFERROR(VLOOKUP(A9,Bank_Data!B:F,1,FALSE),"")</f>
        <v/>
      </c>
      <c r="D9" s="6">
        <f>IFERROR(VLOOKUP(A9,Bank_Data!B:F,5,FALSE),"")</f>
        <v/>
      </c>
      <c r="E9" s="5">
        <f>IF(C9="","Outstanding in Bank",IF(B9=D9,"Matched","Amount Difference"))</f>
        <v/>
      </c>
      <c r="F9" s="6">
        <f>IF(D9="","",B9-D9)</f>
        <v/>
      </c>
      <c r="G9" s="5">
        <f>IF(E9="Matched","No action",IF(E9="Outstanding in Bank","Check whether transaction is pending/uncleared","Investigate difference"))</f>
        <v/>
      </c>
    </row>
    <row r="10">
      <c r="A10" s="5">
        <f>Books_Data!B10</f>
        <v/>
      </c>
      <c r="B10" s="6">
        <f>Books_Data!F10</f>
        <v/>
      </c>
      <c r="C10" s="5">
        <f>IFERROR(VLOOKUP(A10,Bank_Data!B:F,1,FALSE),"")</f>
        <v/>
      </c>
      <c r="D10" s="6">
        <f>IFERROR(VLOOKUP(A10,Bank_Data!B:F,5,FALSE),"")</f>
        <v/>
      </c>
      <c r="E10" s="5">
        <f>IF(C10="","Outstanding in Bank",IF(B10=D10,"Matched","Amount Difference"))</f>
        <v/>
      </c>
      <c r="F10" s="6">
        <f>IF(D10="","",B10-D10)</f>
        <v/>
      </c>
      <c r="G10" s="5">
        <f>IF(E10="Matched","No action",IF(E10="Outstanding in Bank","Check whether transaction is pending/uncleared","Investigate difference"))</f>
        <v/>
      </c>
    </row>
    <row r="11">
      <c r="A11" s="5">
        <f>Books_Data!B11</f>
        <v/>
      </c>
      <c r="B11" s="6">
        <f>Books_Data!F11</f>
        <v/>
      </c>
      <c r="C11" s="5">
        <f>IFERROR(VLOOKUP(A11,Bank_Data!B:F,1,FALSE),"")</f>
        <v/>
      </c>
      <c r="D11" s="6">
        <f>IFERROR(VLOOKUP(A11,Bank_Data!B:F,5,FALSE),"")</f>
        <v/>
      </c>
      <c r="E11" s="5">
        <f>IF(C11="","Outstanding in Bank",IF(B11=D11,"Matched","Amount Difference"))</f>
        <v/>
      </c>
      <c r="F11" s="6">
        <f>IF(D11="","",B11-D11)</f>
        <v/>
      </c>
      <c r="G11" s="5">
        <f>IF(E11="Matched","No action",IF(E11="Outstanding in Bank","Check whether transaction is pending/uncleared","Investigate difference"))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7" t="inlineStr">
        <is>
          <t>BANK-ONLY ITEMS</t>
        </is>
      </c>
      <c r="B14" s="5" t="n"/>
      <c r="C14" s="5" t="n"/>
      <c r="D14" s="5" t="n"/>
      <c r="E14" s="5" t="n"/>
      <c r="F14" s="5" t="n"/>
      <c r="G14" s="5" t="n"/>
    </row>
    <row r="15">
      <c r="A15" s="7" t="inlineStr">
        <is>
          <t>Bank Ref</t>
        </is>
      </c>
      <c r="B15" s="7" t="inlineStr">
        <is>
          <t>Amount</t>
        </is>
      </c>
      <c r="C15" s="7" t="inlineStr">
        <is>
          <t>Description</t>
        </is>
      </c>
      <c r="D15" s="7" t="inlineStr">
        <is>
          <t>Suggested Action</t>
        </is>
      </c>
      <c r="E15" s="7" t="n"/>
      <c r="F15" s="7" t="n"/>
      <c r="G15" s="7" t="n"/>
    </row>
    <row r="16">
      <c r="A16" s="5" t="inlineStr">
        <is>
          <t>BC-002</t>
        </is>
      </c>
      <c r="B16" s="6" t="n">
        <v>8000</v>
      </c>
      <c r="C16" s="5" t="inlineStr">
        <is>
          <t>Direct Bank Credit – Customer</t>
        </is>
      </c>
      <c r="D16" s="5" t="inlineStr">
        <is>
          <t>Record in books after verification</t>
        </is>
      </c>
      <c r="E16" s="5" t="n"/>
      <c r="F16" s="5" t="n"/>
      <c r="G16" s="5" t="n"/>
    </row>
    <row r="17">
      <c r="A17" s="5" t="inlineStr">
        <is>
          <t>BC-003</t>
        </is>
      </c>
      <c r="B17" s="6" t="n">
        <v>1200</v>
      </c>
      <c r="C17" s="5" t="inlineStr">
        <is>
          <t>Bank Interest</t>
        </is>
      </c>
      <c r="D17" s="5" t="inlineStr">
        <is>
          <t>Record bank interest in books</t>
        </is>
      </c>
      <c r="E17" s="5" t="n"/>
      <c r="F17" s="5" t="n"/>
      <c r="G17" s="5" t="n"/>
    </row>
    <row r="18">
      <c r="A18" s="5" t="inlineStr">
        <is>
          <t>BC-001</t>
        </is>
      </c>
      <c r="B18" s="6" t="n">
        <v>500</v>
      </c>
      <c r="C18" s="5" t="inlineStr">
        <is>
          <t>Bank Charges</t>
        </is>
      </c>
      <c r="D18" s="5" t="inlineStr">
        <is>
          <t>Record bank charges in books / verify if already booked</t>
        </is>
      </c>
      <c r="E18" s="5" t="n"/>
      <c r="F18" s="5" t="n"/>
      <c r="G18" s="5" t="n"/>
    </row>
  </sheetData>
  <conditionalFormatting sqref="E2:E11">
    <cfRule type="expression" priority="1" stopIfTrue="1">
      <formula>E2="Matched"</formula>
    </cfRule>
    <cfRule type="expression" priority="2" stopIfTrue="1">
      <formula>E2="Outstanding in Bank"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8" t="inlineStr">
        <is>
          <t>Bank Reconciliation Summary</t>
        </is>
      </c>
      <c r="B1" s="9" t="n"/>
    </row>
    <row r="2">
      <c r="A2" s="7" t="inlineStr">
        <is>
          <t>Metric</t>
        </is>
      </c>
      <c r="B2" s="7" t="inlineStr">
        <is>
          <t>Value</t>
        </is>
      </c>
    </row>
    <row r="3">
      <c r="A3" s="5" t="inlineStr">
        <is>
          <t>Total Book Transactions</t>
        </is>
      </c>
      <c r="B3" s="5">
        <f>COUNTA(Books_Data!B2:B11)</f>
        <v/>
      </c>
    </row>
    <row r="4">
      <c r="A4" s="5" t="inlineStr">
        <is>
          <t>Matched Transactions</t>
        </is>
      </c>
      <c r="B4" s="5">
        <f>COUNTIF(Reconciliation!E2:E11,"Matched")</f>
        <v/>
      </c>
    </row>
    <row r="5">
      <c r="A5" s="5" t="inlineStr">
        <is>
          <t>Outstanding in Bank</t>
        </is>
      </c>
      <c r="B5" s="5">
        <f>COUNTIF(Reconciliation!E2:E11,"Outstanding in Bank")</f>
        <v/>
      </c>
    </row>
    <row r="6">
      <c r="A6" s="5" t="inlineStr">
        <is>
          <t>Amount Difference</t>
        </is>
      </c>
      <c r="B6" s="5">
        <f>COUNTIF(Reconciliation!E2:E11,"Amount Difference")</f>
        <v/>
      </c>
    </row>
    <row r="7">
      <c r="A7" s="5" t="inlineStr">
        <is>
          <t>Bank-only Items</t>
        </is>
      </c>
      <c r="B7" s="5">
        <f>COUNTA(Reconciliation!A16:A18)</f>
        <v/>
      </c>
    </row>
    <row r="8">
      <c r="A8" s="5" t="inlineStr">
        <is>
          <t>Total Book Amount</t>
        </is>
      </c>
      <c r="B8" s="5">
        <f>SUM(Books_Data!F2:F11)</f>
        <v/>
      </c>
    </row>
    <row r="9">
      <c r="A9" s="5" t="inlineStr">
        <is>
          <t>Total Bank Amount</t>
        </is>
      </c>
      <c r="B9" s="5">
        <f>SUM(Bank_Data!F2:F11)</f>
        <v/>
      </c>
    </row>
    <row r="10">
      <c r="A10" s="5" t="inlineStr">
        <is>
          <t>Portfolio Note</t>
        </is>
      </c>
      <c r="B10" s="5" t="inlineStr">
        <is>
          <t>Fictional data for learning and portfolio practice.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2026-10-02T06:32:37Z</dcterms:created>
  <dcterms:modified xmlns:dcterms="http://purl.org/dc/terms/" xmlns:xsi="http://www.w3.org/2001/XMLSchema-instance" xsi:type="dcterms:W3CDTF">2026-10-02T06:32:37Z</dcterms:modified>
</cp:coreProperties>
</file>